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<sst xmlns="http://schemas.openxmlformats.org/spreadsheetml/2006/main" count="24" uniqueCount="23">
  <si>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Note de Frais</t>
  </si>
  <si>
    <t>Nom :</t>
  </si>
  <si>
    <t>Miled</t>
  </si>
  <si>
    <r>
      <t>Prénom :</t>
    </r>
    <r>
      <rPr>
        <sz val="12"/>
        <rFont val="Calibri"/>
        <charset val="134"/>
        <scheme val="minor"/>
      </rPr>
      <t xml:space="preserve"> Rami</t>
    </r>
  </si>
  <si>
    <t xml:space="preserve">Infos véhicule:
</t>
  </si>
  <si>
    <t>5 CV</t>
  </si>
  <si>
    <t>Coef:</t>
  </si>
  <si>
    <t>N°</t>
  </si>
  <si>
    <t>Date</t>
  </si>
  <si>
    <t>Objet des frais</t>
  </si>
  <si>
    <t>Déplacement</t>
  </si>
  <si>
    <t>Nbre Km</t>
  </si>
  <si>
    <t>Nb Jours</t>
  </si>
  <si>
    <t xml:space="preserve">Total KM </t>
  </si>
  <si>
    <t>Total en Euro</t>
  </si>
  <si>
    <t>De</t>
  </si>
  <si>
    <t>A</t>
  </si>
  <si>
    <t>A / R</t>
  </si>
  <si>
    <t>Frais Kilométriques</t>
  </si>
  <si>
    <t>Elzei Consulting
5 Place de la Pyramide 92088</t>
  </si>
  <si>
    <t>AXA
 4 Allée du Château Blanc, 59290 Wasquehal</t>
  </si>
  <si>
    <t>*</t>
  </si>
  <si>
    <t>Visa du responsable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</si>
</sst>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yyyy"/>
    <numFmt numFmtId="179" formatCode="[$-40C]mmm\-yy;@"/>
    <numFmt numFmtId="180" formatCode="0.0"/>
  </numFmts>
  <fonts count="33"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36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10"/>
      <color theme="0"/>
      <name val="Calibri"/>
      <charset val="134"/>
      <scheme val="minor"/>
    </font>
    <font>
      <sz val="9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26" applyNumberFormat="0" applyAlignment="0" applyProtection="0">
      <alignment vertical="center"/>
    </xf>
    <xf numFmtId="0" fontId="22" fillId="7" borderId="27" applyNumberFormat="0" applyAlignment="0" applyProtection="0">
      <alignment vertical="center"/>
    </xf>
    <xf numFmtId="0" fontId="23" fillId="7" borderId="26" applyNumberFormat="0" applyAlignment="0" applyProtection="0">
      <alignment vertical="center"/>
    </xf>
    <xf numFmtId="0" fontId="24" fillId="8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2" fillId="0" borderId="0"/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17" fontId="7" fillId="0" borderId="0" xfId="0" applyNumberFormat="1" applyFont="1" applyFill="1" applyAlignment="1" applyProtection="1">
      <alignment horizontal="center"/>
      <protection locked="0"/>
    </xf>
    <xf numFmtId="178" fontId="7" fillId="0" borderId="0" xfId="0" applyNumberFormat="1" applyFont="1" applyFill="1" applyAlignment="1" applyProtection="1">
      <protection locked="0"/>
    </xf>
    <xf numFmtId="178" fontId="8" fillId="0" borderId="0" xfId="0" applyNumberFormat="1" applyFont="1" applyFill="1" applyAlignment="1" applyProtection="1">
      <protection locked="0"/>
    </xf>
    <xf numFmtId="0" fontId="9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1" fillId="2" borderId="6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" fillId="0" borderId="0" xfId="0" applyFont="1" applyFill="1" applyAlignment="1" applyProtection="1">
      <alignment vertical="center"/>
      <protection locked="0"/>
    </xf>
    <xf numFmtId="179" fontId="1" fillId="0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12" xfId="0" applyFont="1" applyFill="1" applyBorder="1" applyAlignment="1" applyProtection="1">
      <alignment vertical="center"/>
      <protection locked="0"/>
    </xf>
    <xf numFmtId="0" fontId="1" fillId="0" borderId="12" xfId="0" applyFont="1" applyFill="1" applyBorder="1" applyAlignment="1" applyProtection="1">
      <alignment vertical="center" wrapText="1"/>
      <protection locked="0"/>
    </xf>
    <xf numFmtId="180" fontId="12" fillId="3" borderId="13" xfId="49" applyNumberFormat="1" applyFont="1" applyFill="1" applyBorder="1" applyAlignment="1">
      <alignment vertical="center"/>
    </xf>
    <xf numFmtId="180" fontId="1" fillId="0" borderId="13" xfId="0" applyNumberFormat="1" applyFont="1" applyFill="1" applyBorder="1" applyAlignment="1" applyProtection="1">
      <alignment vertical="center"/>
      <protection locked="0"/>
    </xf>
    <xf numFmtId="2" fontId="1" fillId="0" borderId="13" xfId="0" applyNumberFormat="1" applyFont="1" applyFill="1" applyBorder="1" applyAlignment="1" applyProtection="1">
      <alignment vertical="center"/>
      <protection locked="0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1" fontId="9" fillId="0" borderId="17" xfId="0" applyNumberFormat="1" applyFont="1" applyFill="1" applyBorder="1" applyAlignment="1">
      <alignment vertical="center"/>
    </xf>
    <xf numFmtId="1" fontId="9" fillId="0" borderId="18" xfId="0" applyNumberFormat="1" applyFont="1" applyFill="1" applyBorder="1" applyAlignment="1">
      <alignment vertical="center"/>
    </xf>
    <xf numFmtId="2" fontId="9" fillId="0" borderId="18" xfId="0" applyNumberFormat="1" applyFont="1" applyFill="1" applyBorder="1" applyAlignment="1">
      <alignment vertical="center"/>
    </xf>
    <xf numFmtId="2" fontId="1" fillId="0" borderId="19" xfId="2" applyNumberFormat="1" applyFont="1" applyBorder="1" applyAlignment="1" applyProtection="1">
      <alignment vertical="center"/>
      <protection locked="0"/>
    </xf>
    <xf numFmtId="0" fontId="1" fillId="0" borderId="20" xfId="0" applyFont="1" applyFill="1" applyBorder="1" applyAlignment="1">
      <alignment vertical="center"/>
    </xf>
    <xf numFmtId="0" fontId="9" fillId="0" borderId="21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22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</cellXfs>
  <cellStyles count="50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542290</xdr:colOff>
      <xdr:row>0</xdr:row>
      <xdr:rowOff>92075</xdr:rowOff>
    </xdr:from>
    <xdr:to>
      <xdr:col>2</xdr:col>
      <xdr:colOff>455930</xdr:colOff>
      <xdr:row>1</xdr:row>
      <xdr:rowOff>404495</xdr:rowOff>
    </xdr:to>
    <xdr:pic>
      <xdr:nvPicPr>
        <xdr:cNvPr id="2" name="Image 1" descr="Elzei Consulti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2290" y="92075"/>
          <a:ext cx="113284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B9" sqref="B9"/>
    </sheetView>
  </sheetViews>
  <sheetFormatPr defaultColWidth="8.88888888888889" defaultRowHeight="14.4"/>
  <cols>
    <col min="6" max="6" width="33.3333333333333" customWidth="1"/>
  </cols>
  <sheetData>
    <row r="1" spans="1:11">
      <c r="A1" s="1"/>
      <c r="B1" s="2"/>
      <c r="C1" s="1"/>
      <c r="D1" s="1"/>
      <c r="E1" s="1"/>
      <c r="F1" s="1"/>
      <c r="G1" s="1"/>
      <c r="H1" s="1"/>
      <c r="I1" s="1"/>
      <c r="J1" s="1"/>
      <c r="K1" s="1"/>
    </row>
    <row r="2" ht="46.2" spans="1:11">
      <c r="A2" s="3"/>
      <c r="B2" s="4"/>
      <c r="C2" s="5" t="s">
        <v>0</v>
      </c>
      <c r="D2" s="5"/>
      <c r="E2" s="5"/>
      <c r="F2" s="5"/>
      <c r="G2" s="5"/>
      <c r="H2" s="5"/>
      <c r="I2" s="5"/>
      <c r="J2" s="3"/>
      <c r="K2" s="3"/>
    </row>
    <row r="3" ht="46.2" spans="1:11">
      <c r="A3" s="3"/>
      <c r="B3" s="4"/>
      <c r="C3" s="6"/>
      <c r="D3" s="3"/>
      <c r="E3" s="3"/>
      <c r="F3" s="3"/>
      <c r="G3" s="3"/>
      <c r="H3" s="3"/>
      <c r="I3" s="3"/>
      <c r="J3" s="3"/>
      <c r="K3" s="3"/>
    </row>
    <row r="4" ht="18" spans="1:11">
      <c r="A4" s="3"/>
      <c r="B4" s="7" t="s">
        <v>1</v>
      </c>
      <c r="C4" s="3" t="s">
        <v>2</v>
      </c>
      <c r="D4" s="7" t="s">
        <v>3</v>
      </c>
      <c r="E4" s="8"/>
      <c r="F4" s="3"/>
      <c r="G4" s="3"/>
      <c r="H4" s="3"/>
      <c r="I4" s="9"/>
      <c r="J4" s="10"/>
      <c r="K4" s="11"/>
    </row>
    <row r="5" ht="18" spans="1:11">
      <c r="A5" s="3"/>
      <c r="B5" s="7"/>
      <c r="C5" s="3"/>
      <c r="D5" s="8"/>
      <c r="E5" s="8"/>
      <c r="F5" s="3"/>
      <c r="G5" s="3"/>
      <c r="H5" s="3"/>
      <c r="I5" s="9"/>
      <c r="J5" s="10"/>
      <c r="K5" s="11"/>
    </row>
    <row r="6" ht="36.75" spans="1:11">
      <c r="A6" s="1"/>
      <c r="B6" s="12" t="s">
        <v>4</v>
      </c>
      <c r="C6" s="1" t="s">
        <v>5</v>
      </c>
      <c r="D6" s="13" t="s">
        <v>6</v>
      </c>
      <c r="E6" s="14">
        <v>0.427</v>
      </c>
      <c r="F6" s="1"/>
      <c r="G6" s="1"/>
      <c r="H6" s="1"/>
      <c r="I6" s="1"/>
      <c r="J6" s="1"/>
      <c r="K6" s="1"/>
    </row>
    <row r="7" ht="15.15" spans="1:11">
      <c r="A7" s="15" t="s">
        <v>7</v>
      </c>
      <c r="B7" s="15" t="s">
        <v>8</v>
      </c>
      <c r="C7" s="15" t="s">
        <v>9</v>
      </c>
      <c r="D7" s="16" t="s">
        <v>10</v>
      </c>
      <c r="E7" s="17"/>
      <c r="F7" s="18" t="s">
        <v>11</v>
      </c>
      <c r="G7" s="18" t="s">
        <v>11</v>
      </c>
      <c r="H7" s="19" t="s">
        <v>12</v>
      </c>
      <c r="I7" s="20" t="s">
        <v>13</v>
      </c>
      <c r="J7" s="15" t="s">
        <v>14</v>
      </c>
      <c r="K7" s="21"/>
    </row>
    <row r="8" ht="15.15" spans="1:11">
      <c r="A8" s="22"/>
      <c r="B8" s="22"/>
      <c r="C8" s="22"/>
      <c r="D8" s="23" t="s">
        <v>15</v>
      </c>
      <c r="E8" s="24" t="s">
        <v>16</v>
      </c>
      <c r="F8" s="25"/>
      <c r="G8" s="25" t="s">
        <v>17</v>
      </c>
      <c r="H8" s="26"/>
      <c r="I8" s="27"/>
      <c r="J8" s="28"/>
      <c r="K8" s="21"/>
    </row>
    <row r="9" ht="60" spans="1:11">
      <c r="A9" s="29"/>
      <c r="B9" s="30">
        <v>44450</v>
      </c>
      <c r="C9" s="31" t="s">
        <v>18</v>
      </c>
      <c r="D9" s="32" t="s">
        <v>19</v>
      </c>
      <c r="E9" s="32" t="s">
        <v>20</v>
      </c>
      <c r="F9" s="33">
        <v>250</v>
      </c>
      <c r="G9" s="33">
        <f>F9*2</f>
        <v>500</v>
      </c>
      <c r="H9" s="34">
        <v>9</v>
      </c>
      <c r="I9" s="35">
        <f>G9*H9</f>
        <v>4500</v>
      </c>
      <c r="J9" s="35">
        <f>(I9*E6)/2</f>
        <v>960.75</v>
      </c>
      <c r="K9" s="1"/>
    </row>
    <row r="10" ht="15.15" spans="1:11">
      <c r="A10" s="21"/>
      <c r="B10" s="36" t="s">
        <v>21</v>
      </c>
      <c r="C10" s="37"/>
      <c r="D10" s="37"/>
      <c r="E10" s="38"/>
      <c r="F10" s="39"/>
      <c r="G10" s="40"/>
      <c r="H10" s="40"/>
      <c r="I10" s="41"/>
      <c r="J10" s="42">
        <f>SUM(J9:J9)</f>
        <v>960.75</v>
      </c>
      <c r="K10" s="21"/>
    </row>
    <row r="11" ht="15.9" spans="1:11">
      <c r="A11" s="1"/>
      <c r="B11" s="43"/>
      <c r="C11" s="43"/>
      <c r="D11" s="1"/>
      <c r="E11" s="1"/>
      <c r="F11" s="1"/>
      <c r="G11" s="1"/>
      <c r="H11" s="1"/>
      <c r="I11" s="1"/>
      <c r="J11" s="1"/>
      <c r="K11" s="1"/>
    </row>
    <row r="12" ht="15.15" spans="1:11">
      <c r="A12" s="1"/>
      <c r="B12" s="44" t="s">
        <v>22</v>
      </c>
      <c r="C12" s="45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46"/>
      <c r="C13" s="47"/>
      <c r="D13" s="1"/>
      <c r="E13" s="1"/>
      <c r="F13" s="1"/>
      <c r="G13" s="1"/>
      <c r="H13" s="1"/>
      <c r="I13" s="1"/>
      <c r="J13" s="1"/>
      <c r="K13" s="1"/>
    </row>
    <row r="14" ht="15.15" spans="1:11">
      <c r="A14" s="1"/>
      <c r="B14" s="48"/>
      <c r="C14" s="49"/>
      <c r="D14" s="1"/>
      <c r="E14" s="1"/>
      <c r="F14" s="1"/>
      <c r="G14" s="1"/>
      <c r="H14" s="1"/>
      <c r="I14" s="1"/>
      <c r="J14" s="1"/>
      <c r="K14" s="1"/>
    </row>
    <row r="15" ht="15.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mergeCells count="9">
    <mergeCell ref="C2:F2"/>
    <mergeCell ref="D4:E4"/>
    <mergeCell ref="D7:E7"/>
    <mergeCell ref="B10:E10"/>
    <mergeCell ref="A7:A8"/>
    <mergeCell ref="B7:B8"/>
    <mergeCell ref="C7:C8"/>
    <mergeCell ref="I7:I8"/>
    <mergeCell ref="J7:J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2026-03-10T10:24:01Z</dcterms:created>
  <dcterms:modified xsi:type="dcterms:W3CDTF">2026-03-10T10:28:59Z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5F3C2C42626A4BB2B2FE864BA6C01C48_11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1</vt:i4>
  </property>
</Properties>
</file>